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Expenses" sheetId="3" state="visible" r:id="rId5"/>
    <sheet name="Receipt Log" sheetId="4" state="visible" r:id="rId6"/>
    <sheet name="Cards &amp; Accounts" sheetId="5" state="visible" r:id="rId7"/>
    <sheet name="Categor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<sst xmlns="http://schemas.openxmlformats.org/spreadsheetml/2006/main" count="98" uniqueCount="85">
  <si>
    <t xml:space="preserve">GARDEN FAERY</t>
  </si>
  <si>
    <t xml:space="preserve">Bookkeeping Dashboard</t>
  </si>
  <si>
    <t xml:space="preserve">Owner: Taya | Rate: $22/hr | Goal: $1,000/month</t>
  </si>
  <si>
    <t xml:space="preserve">MONTHLY SUMMARY</t>
  </si>
  <si>
    <t xml:space="preserve">Month</t>
  </si>
  <si>
    <t xml:space="preserve">Total Income</t>
  </si>
  <si>
    <t xml:space="preserve">Total Expenses</t>
  </si>
  <si>
    <t xml:space="preserve">Net Profit</t>
  </si>
  <si>
    <t xml:space="preserve">Hours Worked</t>
  </si>
  <si>
    <t xml:space="preserve">Avg $/Hour</t>
  </si>
  <si>
    <t xml:space="preserve">Jobs Completed</t>
  </si>
  <si>
    <t xml:space="preserve">March 2026</t>
  </si>
  <si>
    <t xml:space="preserve">GOAL TRACKER</t>
  </si>
  <si>
    <t xml:space="preserve">Monthly Goal</t>
  </si>
  <si>
    <t xml:space="preserve">Current Month Income</t>
  </si>
  <si>
    <t xml:space="preserve">Remaining to Goal</t>
  </si>
  <si>
    <t xml:space="preserve">% of Goal</t>
  </si>
  <si>
    <t xml:space="preserve">RATE ANALYSIS</t>
  </si>
  <si>
    <t xml:space="preserve">Current Rate</t>
  </si>
  <si>
    <t xml:space="preserve">Proposed Rate</t>
  </si>
  <si>
    <t xml:space="preserve">Hours needed at $22/hr for $1000</t>
  </si>
  <si>
    <t xml:space="preserve">Hours needed at $25/hr for $1000</t>
  </si>
  <si>
    <t xml:space="preserve">Hours saved per month at $25</t>
  </si>
  <si>
    <t xml:space="preserve">PAYMENT METHOD TOTALS (March)</t>
  </si>
  <si>
    <t xml:space="preserve">Cash</t>
  </si>
  <si>
    <t xml:space="preserve">Check</t>
  </si>
  <si>
    <t xml:space="preserve">Venmo</t>
  </si>
  <si>
    <t xml:space="preserve">Date</t>
  </si>
  <si>
    <t xml:space="preserve">Client</t>
  </si>
  <si>
    <t xml:space="preserve">Hours</t>
  </si>
  <si>
    <t xml:space="preserve">Rate ($/hr)</t>
  </si>
  <si>
    <t xml:space="preserve">Total Earned</t>
  </si>
  <si>
    <t xml:space="preserve">Payment Method</t>
  </si>
  <si>
    <t xml:space="preserve">Service Type</t>
  </si>
  <si>
    <t xml:space="preserve">Location</t>
  </si>
  <si>
    <t xml:space="preserve">Notes</t>
  </si>
  <si>
    <t xml:space="preserve">Dena</t>
  </si>
  <si>
    <t xml:space="preserve">Weeding</t>
  </si>
  <si>
    <t xml:space="preserve">Spear Ave, Arcata</t>
  </si>
  <si>
    <t xml:space="preserve">10am-2pm. First Feed Your Soul job.</t>
  </si>
  <si>
    <t xml:space="preserve">Elizabeth</t>
  </si>
  <si>
    <t xml:space="preserve">3168 Deer Fern Ct</t>
  </si>
  <si>
    <t xml:space="preserve">9:30am-2pm</t>
  </si>
  <si>
    <t xml:space="preserve">Vendor</t>
  </si>
  <si>
    <t xml:space="preserve">Description</t>
  </si>
  <si>
    <t xml:space="preserve">Category</t>
  </si>
  <si>
    <t xml:space="preserve">Amount</t>
  </si>
  <si>
    <t xml:space="preserve">Card/Payment</t>
  </si>
  <si>
    <t xml:space="preserve">Receipt?</t>
  </si>
  <si>
    <t xml:space="preserve">Receipt File</t>
  </si>
  <si>
    <t xml:space="preserve">Card Used</t>
  </si>
  <si>
    <t xml:space="preserve">Photo Filename</t>
  </si>
  <si>
    <t xml:space="preserve">Linked to Expense Row</t>
  </si>
  <si>
    <t xml:space="preserve">PAYMENT CARDS &amp; ACCOUNTS</t>
  </si>
  <si>
    <t xml:space="preserve">Card Name</t>
  </si>
  <si>
    <t xml:space="preserve">Last 4 Digits</t>
  </si>
  <si>
    <t xml:space="preserve">Type</t>
  </si>
  <si>
    <t xml:space="preserve">Primary Use</t>
  </si>
  <si>
    <t xml:space="preserve">Business Bank Account</t>
  </si>
  <si>
    <t xml:space="preserve">Debit</t>
  </si>
  <si>
    <t xml:space="preserve">Not active yet</t>
  </si>
  <si>
    <t xml:space="preserve">No funds — will activate when ready</t>
  </si>
  <si>
    <t xml:space="preserve">EXPENSE CATEGORIES</t>
  </si>
  <si>
    <t xml:space="preserve">Tools &amp; Equipment</t>
  </si>
  <si>
    <t xml:space="preserve">Shovels, rakes, pruners, gloves, wheelbarrow</t>
  </si>
  <si>
    <t xml:space="preserve">Plants &amp; Seeds</t>
  </si>
  <si>
    <t xml:space="preserve">Seeds, seedlings, bulbs, plants</t>
  </si>
  <si>
    <t xml:space="preserve">Soil &amp; Amendments</t>
  </si>
  <si>
    <t xml:space="preserve">Soil, compost, mulch, fertilizer</t>
  </si>
  <si>
    <t xml:space="preserve">Transportation</t>
  </si>
  <si>
    <t xml:space="preserve">Gas, mileage to job sites</t>
  </si>
  <si>
    <t xml:space="preserve">Supplies</t>
  </si>
  <si>
    <t xml:space="preserve">Bags, twine, pots, misc supplies</t>
  </si>
  <si>
    <t xml:space="preserve">Marketing</t>
  </si>
  <si>
    <t xml:space="preserve">Craigslist ads, business cards, website</t>
  </si>
  <si>
    <t xml:space="preserve">Insurance</t>
  </si>
  <si>
    <t xml:space="preserve">Business liability insurance</t>
  </si>
  <si>
    <t xml:space="preserve">Phone/Internet</t>
  </si>
  <si>
    <t xml:space="preserve">Business portion of phone bill</t>
  </si>
  <si>
    <t xml:space="preserve">Education</t>
  </si>
  <si>
    <t xml:space="preserve">Books, classes, certifications</t>
  </si>
  <si>
    <t xml:space="preserve">Meals</t>
  </si>
  <si>
    <t xml:space="preserve">Working meals on job sites</t>
  </si>
  <si>
    <t xml:space="preserve">Other</t>
  </si>
  <si>
    <t xml:space="preserve">Anything that doesn't fit above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</si>
</sst>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"/>
    <numFmt numFmtId="167" formatCode="0%"/>
    <numFmt numFmtId="168" formatCode="mm/d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5E20"/>
      <name val="Arial"/>
      <family val="0"/>
      <charset val="1"/>
    </font>
    <font>
      <sz val="12"/>
      <color rgb="FF2E7D3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4"/>
      <color rgb="FF1B5E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9C27B0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800"/>
      <rgbColor rgb="FFF44336"/>
      <rgbColor rgb="FF666699"/>
      <rgbColor rgb="FF999999"/>
      <rgbColor rgb="FF003366"/>
      <rgbColor rgb="FF4CAF50"/>
      <rgbColor rgb="FF003300"/>
      <rgbColor rgb="FF333300"/>
      <rgbColor rgb="FF993300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7" min="3" style="1" width="16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.75" hidden="false" customHeight="true" outlineLevel="0" collapsed="false">
      <c r="A5" s="5" t="s">
        <v>3</v>
      </c>
    </row>
    <row r="6" customFormat="false" ht="26.2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15" hidden="false" customHeight="true" outlineLevel="0" collapsed="false">
      <c r="A7" s="7" t="s">
        <v>11</v>
      </c>
      <c r="B7" s="8" t="n">
        <f aca="false">SUMPRODUCT((MONTH(Income!A2:A500)=3)*(YEAR(Income!A2:A500)=2026)*Income!E2:E500)</f>
        <v>170</v>
      </c>
      <c r="C7" s="8" t="n">
        <f aca="false">SUMPRODUCT((MONTH(Expenses!A2:A500)=3)*(YEAR(Expenses!A2:A500)=2026)*Expenses!E2:E500)</f>
        <v>0</v>
      </c>
      <c r="D7" s="8" t="n">
        <f aca="false">B7-C7</f>
        <v>170</v>
      </c>
      <c r="E7" s="9" t="n">
        <f aca="false">SUMPRODUCT((MONTH(Income!A2:A500)=3)*(YEAR(Income!A2:A500)=2026)*Income!C2:C500)</f>
        <v>8.5</v>
      </c>
      <c r="F7" s="8" t="n">
        <f aca="false">IF(E7&gt;0,B7/E7,0)</f>
        <v>20</v>
      </c>
      <c r="G7" s="7" t="n">
        <f aca="false">COUNTIFS(Income!A2:A500,"&gt;="&amp;DATE(2026,3,1),Income!A2:A500,"&lt;="&amp;DATE(2026,3,31))</f>
        <v>2</v>
      </c>
    </row>
    <row r="9" customFormat="false" ht="15.75" hidden="false" customHeight="true" outlineLevel="0" collapsed="false">
      <c r="A9" s="5" t="s">
        <v>12</v>
      </c>
    </row>
    <row r="10" customFormat="false" ht="15" hidden="false" customHeight="true" outlineLevel="0" collapsed="false">
      <c r="A10" s="10" t="s">
        <v>13</v>
      </c>
      <c r="B10" s="11" t="n">
        <v>1000</v>
      </c>
    </row>
    <row r="11" customFormat="false" ht="15" hidden="false" customHeight="true" outlineLevel="0" collapsed="false">
      <c r="A11" s="10" t="s">
        <v>14</v>
      </c>
      <c r="B11" s="11" t="n">
        <f aca="false">B7</f>
        <v>170</v>
      </c>
    </row>
    <row r="12" customFormat="false" ht="15" hidden="false" customHeight="true" outlineLevel="0" collapsed="false">
      <c r="A12" s="10" t="s">
        <v>15</v>
      </c>
      <c r="B12" s="11" t="n">
        <f aca="false">B10-B11</f>
        <v>830</v>
      </c>
    </row>
    <row r="13" customFormat="false" ht="15" hidden="false" customHeight="true" outlineLevel="0" collapsed="false">
      <c r="A13" s="10" t="s">
        <v>16</v>
      </c>
      <c r="B13" s="12" t="n">
        <f aca="false">IF(B10&gt;0,B11/B10,0)</f>
        <v>0.17</v>
      </c>
    </row>
    <row r="15" customFormat="false" ht="15.75" hidden="false" customHeight="true" outlineLevel="0" collapsed="false">
      <c r="A15" s="5" t="s">
        <v>17</v>
      </c>
    </row>
    <row r="16" customFormat="false" ht="15" hidden="false" customHeight="true" outlineLevel="0" collapsed="false">
      <c r="A16" s="13" t="s">
        <v>18</v>
      </c>
      <c r="B16" s="11" t="n">
        <v>22</v>
      </c>
    </row>
    <row r="17" customFormat="false" ht="15" hidden="false" customHeight="true" outlineLevel="0" collapsed="false">
      <c r="A17" s="13" t="s">
        <v>19</v>
      </c>
      <c r="B17" s="11" t="n">
        <v>25</v>
      </c>
    </row>
    <row r="18" customFormat="false" ht="15" hidden="false" customHeight="true" outlineLevel="0" collapsed="false">
      <c r="A18" s="13" t="s">
        <v>20</v>
      </c>
      <c r="B18" s="14" t="n">
        <f aca="false">IF(B16&gt;0,CEILING(1000/B16,0.5),0)</f>
        <v>45.5</v>
      </c>
    </row>
    <row r="19" customFormat="false" ht="15" hidden="false" customHeight="true" outlineLevel="0" collapsed="false">
      <c r="A19" s="13" t="s">
        <v>21</v>
      </c>
      <c r="B19" s="14" t="n">
        <f aca="false">IF(B17&gt;0,CEILING(1000/B17,0.5),0)</f>
        <v>40</v>
      </c>
    </row>
    <row r="20" customFormat="false" ht="15" hidden="false" customHeight="true" outlineLevel="0" collapsed="false">
      <c r="A20" s="13" t="s">
        <v>22</v>
      </c>
      <c r="B20" s="14" t="n">
        <f aca="false">B18-B19</f>
        <v>5.5</v>
      </c>
    </row>
    <row r="22" customFormat="false" ht="15.75" hidden="false" customHeight="true" outlineLevel="0" collapsed="false">
      <c r="A22" s="5" t="s">
        <v>23</v>
      </c>
    </row>
    <row r="23" customFormat="false" ht="15" hidden="false" customHeight="true" outlineLevel="0" collapsed="false">
      <c r="A23" s="1" t="s">
        <v>24</v>
      </c>
      <c r="B23" s="15" t="n">
        <f aca="false">SUMPRODUCT((MONTH(Income!A2:A500)=3)*(Income!F2:F500="Cash")*Income!E2:E500)</f>
        <v>170</v>
      </c>
    </row>
    <row r="24" customFormat="false" ht="15" hidden="false" customHeight="true" outlineLevel="0" collapsed="false">
      <c r="A24" s="1" t="s">
        <v>25</v>
      </c>
      <c r="B24" s="15" t="n">
        <f aca="false">SUMPRODUCT((MONTH(Income!A2:A500)=3)*(Income!F2:F500="Check")*Income!E2:E500)</f>
        <v>0</v>
      </c>
    </row>
    <row r="25" customFormat="false" ht="15" hidden="false" customHeight="true" outlineLevel="0" collapsed="false">
      <c r="A25" s="1" t="s">
        <v>26</v>
      </c>
      <c r="B25" s="15" t="n">
        <f aca="false">SUMPRODUCT((MONTH(Income!A2:A500)=3)*(Income!F2:F500="Venmo")*Income!E2:E500)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30"/>
  </cols>
  <sheetData>
    <row r="1" customFormat="false" ht="26.25" hidden="false" customHeight="tru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</row>
    <row r="2" customFormat="false" ht="15" hidden="false" customHeight="true" outlineLevel="0" collapsed="false">
      <c r="A2" s="16" t="n">
        <v>46097</v>
      </c>
      <c r="B2" s="17" t="s">
        <v>36</v>
      </c>
      <c r="C2" s="17" t="n">
        <v>4</v>
      </c>
      <c r="D2" s="18" t="n">
        <v>20</v>
      </c>
      <c r="E2" s="18" t="n">
        <f aca="false">C2*D2</f>
        <v>80</v>
      </c>
      <c r="F2" s="17" t="s">
        <v>24</v>
      </c>
      <c r="G2" s="17" t="s">
        <v>37</v>
      </c>
      <c r="H2" s="17" t="s">
        <v>38</v>
      </c>
      <c r="I2" s="17" t="s">
        <v>39</v>
      </c>
    </row>
    <row r="3" customFormat="false" ht="15" hidden="false" customHeight="true" outlineLevel="0" collapsed="false">
      <c r="A3" s="19" t="n">
        <v>46100</v>
      </c>
      <c r="B3" s="7" t="s">
        <v>40</v>
      </c>
      <c r="C3" s="7" t="n">
        <v>4.5</v>
      </c>
      <c r="D3" s="8" t="n">
        <v>20</v>
      </c>
      <c r="E3" s="8" t="n">
        <f aca="false">C3*D3</f>
        <v>90</v>
      </c>
      <c r="F3" s="7" t="s">
        <v>24</v>
      </c>
      <c r="G3" s="7" t="s">
        <v>37</v>
      </c>
      <c r="H3" s="7" t="s">
        <v>41</v>
      </c>
      <c r="I3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25"/>
    <col collapsed="false" customWidth="true" hidden="false" outlineLevel="0" max="9" min="9" style="1" width="30"/>
  </cols>
  <sheetData>
    <row r="1" customFormat="false" ht="15" hidden="false" customHeight="true" outlineLevel="0" collapsed="false">
      <c r="A1" s="6" t="s">
        <v>27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35</v>
      </c>
    </row>
    <row r="2" customFormat="false" ht="15" hidden="false" customHeight="true" outlineLevel="0" collapsed="false">
      <c r="D2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5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26.25" hidden="false" customHeight="true" outlineLevel="0" collapsed="false">
      <c r="A1" s="6" t="s">
        <v>27</v>
      </c>
      <c r="B1" s="6" t="s">
        <v>43</v>
      </c>
      <c r="C1" s="6" t="s">
        <v>46</v>
      </c>
      <c r="D1" s="6" t="s">
        <v>50</v>
      </c>
      <c r="E1" s="6" t="s">
        <v>45</v>
      </c>
      <c r="F1" s="6" t="s">
        <v>51</v>
      </c>
      <c r="G1" s="6" t="s">
        <v>52</v>
      </c>
      <c r="H1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35"/>
  </cols>
  <sheetData>
    <row r="1" customFormat="false" ht="17.25" hidden="false" customHeight="true" outlineLevel="0" collapsed="false">
      <c r="A1" s="21" t="s">
        <v>53</v>
      </c>
    </row>
    <row r="2" customFormat="false" ht="15" hidden="false" customHeight="true" outlineLevel="0" collapsed="false">
      <c r="A2" s="6" t="s">
        <v>54</v>
      </c>
      <c r="B2" s="6" t="s">
        <v>55</v>
      </c>
      <c r="C2" s="6" t="s">
        <v>56</v>
      </c>
      <c r="D2" s="6" t="s">
        <v>57</v>
      </c>
      <c r="E2" s="6" t="s">
        <v>35</v>
      </c>
    </row>
    <row r="3" customFormat="false" ht="15" hidden="false" customHeight="true" outlineLevel="0" collapsed="false">
      <c r="A3" s="7" t="s">
        <v>58</v>
      </c>
      <c r="B3" s="7"/>
      <c r="C3" s="7" t="s">
        <v>59</v>
      </c>
      <c r="D3" s="7" t="s">
        <v>60</v>
      </c>
      <c r="E3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</cols>
  <sheetData>
    <row r="1" customFormat="false" ht="17.25" hidden="false" customHeight="true" outlineLevel="0" collapsed="false">
      <c r="A1" s="21" t="s">
        <v>62</v>
      </c>
    </row>
    <row r="2" customFormat="false" ht="15" hidden="false" customHeight="true" outlineLevel="0" collapsed="false">
      <c r="A2" s="6" t="s">
        <v>45</v>
      </c>
      <c r="B2" s="6" t="s">
        <v>44</v>
      </c>
    </row>
    <row r="3" customFormat="false" ht="15" hidden="false" customHeight="true" outlineLevel="0" collapsed="false">
      <c r="A3" s="7" t="s">
        <v>63</v>
      </c>
      <c r="B3" s="7" t="s">
        <v>64</v>
      </c>
    </row>
    <row r="4" customFormat="false" ht="15" hidden="false" customHeight="true" outlineLevel="0" collapsed="false">
      <c r="A4" s="17" t="s">
        <v>65</v>
      </c>
      <c r="B4" s="17" t="s">
        <v>66</v>
      </c>
    </row>
    <row r="5" customFormat="false" ht="15" hidden="false" customHeight="true" outlineLevel="0" collapsed="false">
      <c r="A5" s="7" t="s">
        <v>67</v>
      </c>
      <c r="B5" s="7" t="s">
        <v>68</v>
      </c>
    </row>
    <row r="6" customFormat="false" ht="15" hidden="false" customHeight="true" outlineLevel="0" collapsed="false">
      <c r="A6" s="17" t="s">
        <v>69</v>
      </c>
      <c r="B6" s="17" t="s">
        <v>70</v>
      </c>
    </row>
    <row r="7" customFormat="false" ht="15" hidden="false" customHeight="true" outlineLevel="0" collapsed="false">
      <c r="A7" s="7" t="s">
        <v>71</v>
      </c>
      <c r="B7" s="7" t="s">
        <v>72</v>
      </c>
    </row>
    <row r="8" customFormat="false" ht="15" hidden="false" customHeight="true" outlineLevel="0" collapsed="false">
      <c r="A8" s="17" t="s">
        <v>73</v>
      </c>
      <c r="B8" s="17" t="s">
        <v>74</v>
      </c>
    </row>
    <row r="9" customFormat="false" ht="15" hidden="false" customHeight="true" outlineLevel="0" collapsed="false">
      <c r="A9" s="7" t="s">
        <v>75</v>
      </c>
      <c r="B9" s="7" t="s">
        <v>76</v>
      </c>
    </row>
    <row r="10" customFormat="false" ht="15" hidden="false" customHeight="true" outlineLevel="0" collapsed="false">
      <c r="A10" s="17" t="s">
        <v>77</v>
      </c>
      <c r="B10" s="17" t="s">
        <v>78</v>
      </c>
    </row>
    <row r="11" customFormat="false" ht="15" hidden="false" customHeight="true" outlineLevel="0" collapsed="false">
      <c r="A11" s="7" t="s">
        <v>79</v>
      </c>
      <c r="B11" s="7" t="s">
        <v>80</v>
      </c>
    </row>
    <row r="12" customFormat="false" ht="15" hidden="false" customHeight="true" outlineLevel="0" collapsed="false">
      <c r="A12" s="17" t="s">
        <v>81</v>
      </c>
      <c r="B12" s="17" t="s">
        <v>82</v>
      </c>
    </row>
    <row r="13" customFormat="false" ht="15" hidden="false" customHeight="true" outlineLevel="0" collapsed="false">
      <c r="A13" s="7" t="s">
        <v>83</v>
      </c>
      <c r="B13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2026-03-20T19:34:06Z</dcterms:created>
  <dc:creator>openpyxl</dc:creator>
  <dc:description/>
  <dc:language>en-US</dc:language>
  <cp:lastModifiedBy/>
  <dcterms:modified xsi:type="dcterms:W3CDTF">2026-03-20T19:34:25Z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